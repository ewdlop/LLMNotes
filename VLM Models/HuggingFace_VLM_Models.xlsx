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儀表板" sheetId="1" state="visible" r:id="rId1"/>
    <sheet xmlns:r="http://schemas.openxmlformats.org/officeDocument/2006/relationships" name="下載量排名" sheetId="2" state="visible" r:id="rId2"/>
    <sheet xmlns:r="http://schemas.openxmlformats.org/officeDocument/2006/relationships" name="官方推薦" sheetId="3" state="visible" r:id="rId3"/>
    <sheet xmlns:r="http://schemas.openxmlformats.org/officeDocument/2006/relationships" name="模型分類" sheetId="4" state="visible" r:id="rId4"/>
    <sheet xmlns:r="http://schemas.openxmlformats.org/officeDocument/2006/relationships" name="架構說明" sheetId="5" state="visible" r:id="rId5"/>
    <sheet xmlns:r="http://schemas.openxmlformats.org/officeDocument/2006/relationships" name="計算工具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i val="1"/>
      <color rgb="00666666"/>
      <sz val="10"/>
    </font>
    <font>
      <name val="Arial"/>
      <b val="1"/>
      <color rgb="002E75B6"/>
      <sz val="12"/>
    </font>
    <font>
      <name val="Arial"/>
      <color rgb="00666666"/>
      <sz val="9"/>
    </font>
    <font>
      <name val="Arial"/>
      <b val="1"/>
      <color rgb="001F4E79"/>
      <sz val="14"/>
    </font>
    <font>
      <name val="Arial"/>
      <b val="1"/>
      <color rgb="00FFFFFF"/>
      <sz val="11"/>
    </font>
    <font>
      <name val="Arial"/>
      <i val="1"/>
      <color rgb="00666666"/>
      <sz val="9"/>
    </font>
    <font>
      <name val="Arial"/>
      <sz val="10"/>
    </font>
    <font>
      <name val="Arial"/>
      <color rgb="000563C1"/>
      <sz val="10"/>
      <u val="single"/>
    </font>
    <font>
      <name val="Arial"/>
      <color rgb="00FFB900"/>
      <sz val="12"/>
    </font>
    <font>
      <name val="Arial"/>
      <b val="1"/>
      <color rgb="001F4E79"/>
      <sz val="12"/>
    </font>
    <font>
      <name val="Arial"/>
      <color rgb="00666666"/>
      <sz val="10"/>
    </font>
    <font>
      <name val="Arial"/>
      <b val="1"/>
      <color rgb="00666666"/>
      <sz val="10"/>
    </font>
    <font>
      <name val="Arial"/>
      <color rgb="000563C1"/>
      <sz val="9"/>
      <u val="single"/>
    </font>
  </fonts>
  <fills count="7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2E75B6"/>
        <bgColor rgb="002E75B6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3" fontId="5" fillId="2" borderId="0" pivotButton="0" quotePrefix="0" xfId="0"/>
    <xf numFmtId="0" fontId="0" fillId="3" borderId="1" pivotButton="0" quotePrefix="0" xfId="0"/>
    <xf numFmtId="0" fontId="6" fillId="4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7" fillId="0" borderId="0" pivotButton="0" quotePrefix="0" xfId="0"/>
    <xf numFmtId="0" fontId="6" fillId="4" borderId="1" applyAlignment="1" pivotButton="0" quotePrefix="0" xfId="0">
      <alignment horizontal="center" vertical="center"/>
    </xf>
    <xf numFmtId="0" fontId="6" fillId="4" borderId="1" pivotButton="0" quotePrefix="0" xfId="0"/>
    <xf numFmtId="0" fontId="8" fillId="0" borderId="1" pivotButton="0" quotePrefix="0" xfId="0"/>
    <xf numFmtId="3" fontId="8" fillId="0" borderId="1" pivotButton="0" quotePrefix="0" xfId="0"/>
    <xf numFmtId="0" fontId="9" fillId="0" borderId="1" pivotButton="0" quotePrefix="0" xfId="0"/>
    <xf numFmtId="0" fontId="8" fillId="0" borderId="1" applyAlignment="1" pivotButton="0" quotePrefix="0" xfId="0">
      <alignment horizontal="center"/>
    </xf>
    <xf numFmtId="0" fontId="10" fillId="0" borderId="1" pivotButton="0" quotePrefix="0" xfId="0"/>
    <xf numFmtId="0" fontId="6" fillId="5" borderId="1" pivotButton="0" quotePrefix="0" xfId="0"/>
    <xf numFmtId="0" fontId="3" fillId="2" borderId="0" pivotButton="0" quotePrefix="0" xfId="0"/>
    <xf numFmtId="0" fontId="8" fillId="0" borderId="0" pivotButton="0" quotePrefix="0" xfId="0"/>
    <xf numFmtId="0" fontId="11" fillId="2" borderId="2" pivotButton="0" quotePrefix="0" xfId="0"/>
    <xf numFmtId="0" fontId="11" fillId="0" borderId="0" pivotButton="0" quotePrefix="0" xfId="0"/>
    <xf numFmtId="0" fontId="12" fillId="0" borderId="0" pivotButton="0" quotePrefix="0" xfId="0"/>
    <xf numFmtId="0" fontId="6" fillId="6" borderId="1" pivotButton="0" quotePrefix="0" xfId="0"/>
    <xf numFmtId="0" fontId="13" fillId="0" borderId="0" pivotButton="0" quotePrefix="0" xfId="0"/>
    <xf numFmtId="0" fontId="4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VLM 模型下載量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'下載量排名'!E4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'下載量排名'!$B$5:$B$14</f>
            </numRef>
          </cat>
          <val>
            <numRef>
              <f>'下載量排名'!$E$5:$E$14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下載量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模型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20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huggingface.co/vikhyatk/moondream2" TargetMode="External" Id="rId1"/><Relationship Type="http://schemas.openxmlformats.org/officeDocument/2006/relationships/hyperlink" Target="https://huggingface.co/deepseek-ai/DeepSeek-OCR" TargetMode="External" Id="rId2"/><Relationship Type="http://schemas.openxmlformats.org/officeDocument/2006/relationships/hyperlink" Target="https://huggingface.co/Qwen/Qwen3-VL-8B-Instruct" TargetMode="External" Id="rId3"/><Relationship Type="http://schemas.openxmlformats.org/officeDocument/2006/relationships/hyperlink" Target="https://huggingface.co/Qwen/Qwen2.5-VL-7B-Instruct" TargetMode="External" Id="rId4"/><Relationship Type="http://schemas.openxmlformats.org/officeDocument/2006/relationships/hyperlink" Target="https://huggingface.co/Qwen/Qwen2.5-VL-3B-Instruct" TargetMode="External" Id="rId5"/><Relationship Type="http://schemas.openxmlformats.org/officeDocument/2006/relationships/hyperlink" Target="https://huggingface.co/openvla/openvla-7b" TargetMode="External" Id="rId6"/><Relationship Type="http://schemas.openxmlformats.org/officeDocument/2006/relationships/hyperlink" Target="https://huggingface.co/Qwen/Qwen2-VL-2B-Instruct" TargetMode="External" Id="rId7"/><Relationship Type="http://schemas.openxmlformats.org/officeDocument/2006/relationships/hyperlink" Target="https://huggingface.co/google/gemma-3-27b-it" TargetMode="External" Id="rId8"/><Relationship Type="http://schemas.openxmlformats.org/officeDocument/2006/relationships/hyperlink" Target="https://huggingface.co/Qwen/Qwen3-VL-30B-A3B-Instruct" TargetMode="External" Id="rId9"/><Relationship Type="http://schemas.openxmlformats.org/officeDocument/2006/relationships/hyperlink" Target="https://huggingface.co/google/gemma-3-12b-it" TargetMode="External" Id="rId10"/><Relationship Type="http://schemas.openxmlformats.org/officeDocument/2006/relationships/hyperlink" Target="https://huggingface.co/opendatalab/MinerU2.5-2509-1.2B" TargetMode="External" Id="rId11"/><Relationship Type="http://schemas.openxmlformats.org/officeDocument/2006/relationships/hyperlink" Target="https://huggingface.co/Qwen/Qwen2-VL-7B-Instruct" TargetMode="External" Id="rId12"/><Relationship Type="http://schemas.openxmlformats.org/officeDocument/2006/relationships/hyperlink" Target="https://huggingface.co/Qwen/Qwen3-VL-2B-Instruct" TargetMode="External" Id="rId13"/><Relationship Type="http://schemas.openxmlformats.org/officeDocument/2006/relationships/hyperlink" Target="https://huggingface.co/llava-hf/llava-1.5-7b-hf" TargetMode="External" Id="rId14"/><Relationship Type="http://schemas.openxmlformats.org/officeDocument/2006/relationships/hyperlink" Target="https://huggingface.co/tencent/HunyuanOCR" TargetMode="External" Id="rId15"/><Relationship Type="http://schemas.openxmlformats.org/officeDocument/2006/relationships/hyperlink" Target="https://huggingface.co/nvidia/Llama-3.1-Nemotron-Nano-VL-8B-V1" TargetMode="External" Id="rId16"/><Relationship Type="http://schemas.openxmlformats.org/officeDocument/2006/relationships/hyperlink" Target="https://huggingface.co/OpenGVLab/InternVL2-2B" TargetMode="External" Id="rId17"/><Relationship Type="http://schemas.openxmlformats.org/officeDocument/2006/relationships/hyperlink" Target="https://huggingface.co/google/gemma-3-4b-it" TargetMode="External" Id="rId18"/><Relationship Type="http://schemas.openxmlformats.org/officeDocument/2006/relationships/hyperlink" Target="https://huggingface.co/OpenGVLab/InternVL3_5-GPT-OSS-20B-A4B-Preview-HF" TargetMode="External" Id="rId19"/><Relationship Type="http://schemas.openxmlformats.org/officeDocument/2006/relationships/hyperlink" Target="https://huggingface.co/microsoft/Florence-2-large" TargetMode="External" Id="rId20"/><Relationship Type="http://schemas.openxmlformats.org/officeDocument/2006/relationships/hyperlink" Target="https://huggingface.co/microsoft/Phi-3.5-vision-instruct" TargetMode="External" Id="rId21"/><Relationship Type="http://schemas.openxmlformats.org/officeDocument/2006/relationships/hyperlink" Target="https://huggingface.co/Qwen/Qwen3-VL-4B-Instruct" TargetMode="External" Id="rId22"/><Relationship Type="http://schemas.openxmlformats.org/officeDocument/2006/relationships/hyperlink" Target="https://huggingface.co/microsoft/Florence-2-base" TargetMode="External" Id="rId23"/><Relationship Type="http://schemas.openxmlformats.org/officeDocument/2006/relationships/hyperlink" Target="https://huggingface.co/OpenGVLab/InternVL2-1B" TargetMode="External" Id="rId24"/><Relationship Type="http://schemas.openxmlformats.org/officeDocument/2006/relationships/hyperlink" Target="https://huggingface.co/rednote-hilab/dots.ocr" TargetMode="External" Id="rId25"/><Relationship Type="http://schemas.openxmlformats.org/officeDocument/2006/relationships/hyperlink" Target="https://huggingface.co/Salesforce/blip2-opt-2.7b" TargetMode="External" Id="rId26"/><Relationship Type="http://schemas.openxmlformats.org/officeDocument/2006/relationships/hyperlink" Target="https://huggingface.co/microsoft/Fara-7B" TargetMode="External" Id="rId27"/><Relationship Type="http://schemas.openxmlformats.org/officeDocument/2006/relationships/hyperlink" Target="https://huggingface.co/lmstudio-community/GLM-4.6V-Flash-MLX-4bit" TargetMode="External" Id="rId28"/><Relationship Type="http://schemas.openxmlformats.org/officeDocument/2006/relationships/hyperlink" Target="https://huggingface.co/Qwen/Qwen3-VL-32B-Instruct" TargetMode="External" Id="rId29"/><Relationship Type="http://schemas.openxmlformats.org/officeDocument/2006/relationships/hyperlink" Target="https://huggingface.co/models?pipeline_tag=image-text-to-text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15" customWidth="1" min="4" max="4"/>
    <col width="5" customWidth="1" min="5" max="5"/>
    <col width="15" customWidth="1" min="6" max="6"/>
    <col width="12" customWidth="1" min="7" max="7"/>
    <col width="12" customWidth="1" min="8" max="8"/>
  </cols>
  <sheetData>
    <row r="1">
      <c r="A1" s="1" t="inlineStr">
        <is>
          <t>Hugging Face VLM 模型分析儀表板</t>
        </is>
      </c>
    </row>
    <row r="2">
      <c r="A2" s="2" t="inlineStr">
        <is>
          <t>資料更新日期: 2026-01-09</t>
        </is>
      </c>
    </row>
    <row r="4">
      <c r="A4" s="3" t="inlineStr">
        <is>
          <t>關鍵指標 (KPI)</t>
        </is>
      </c>
    </row>
    <row r="5">
      <c r="A5" s="4" t="inlineStr">
        <is>
          <t>總模型數</t>
        </is>
      </c>
      <c r="B5" s="5" t="n"/>
      <c r="C5" s="4" t="inlineStr">
        <is>
          <t>總下載量</t>
        </is>
      </c>
      <c r="D5" s="5" t="n"/>
      <c r="E5" s="4" t="inlineStr">
        <is>
          <t>平均下載量</t>
        </is>
      </c>
      <c r="F5" s="5" t="n"/>
      <c r="G5" s="4" t="inlineStr">
        <is>
          <t>開發者數量</t>
        </is>
      </c>
      <c r="H5" s="5" t="n"/>
    </row>
    <row r="6">
      <c r="A6" s="6">
        <f>COUNTA('下載量排名'!A:A)-1</f>
        <v/>
      </c>
      <c r="B6" s="5" t="n"/>
      <c r="C6" s="6">
        <f>SUM('下載量排名'!E:E)</f>
        <v/>
      </c>
      <c r="D6" s="5" t="n"/>
      <c r="E6" s="6">
        <f>IFERROR(AVERAGE('下載量排名'!E:E),0)</f>
        <v/>
      </c>
      <c r="F6" s="5" t="n"/>
      <c r="G6" s="6">
        <f>COUNTA(UNIQUE('下載量排名'!C2:C30))</f>
        <v/>
      </c>
      <c r="H6" s="5" t="n"/>
    </row>
    <row r="9">
      <c r="A9" s="3" t="inlineStr">
        <is>
          <t>模型規模篩選器</t>
        </is>
      </c>
    </row>
    <row r="10">
      <c r="A10" t="inlineStr">
        <is>
          <t>選擇參數規模:</t>
        </is>
      </c>
      <c r="B10" s="7" t="inlineStr">
        <is>
          <t>全部</t>
        </is>
      </c>
    </row>
    <row r="12">
      <c r="A12" s="3" t="inlineStr">
        <is>
          <t>下載量 Top 5 模型</t>
        </is>
      </c>
      <c r="F12" s="3" t="inlineStr">
        <is>
          <t>開發者分佈</t>
        </is>
      </c>
    </row>
    <row r="13">
      <c r="A13" s="8" t="inlineStr">
        <is>
          <t>排名</t>
        </is>
      </c>
      <c r="B13" s="8" t="inlineStr">
        <is>
          <t>模型名稱</t>
        </is>
      </c>
      <c r="C13" s="8" t="inlineStr">
        <is>
          <t>開發者</t>
        </is>
      </c>
      <c r="D13" s="8" t="inlineStr">
        <is>
          <t>下載量</t>
        </is>
      </c>
      <c r="F13" s="8" t="inlineStr">
        <is>
          <t>開發者</t>
        </is>
      </c>
      <c r="G13" s="8" t="inlineStr">
        <is>
          <t>模型數</t>
        </is>
      </c>
      <c r="H13" s="8" t="inlineStr">
        <is>
          <t>佔比</t>
        </is>
      </c>
    </row>
    <row r="14">
      <c r="A14" s="9" t="n">
        <v>1</v>
      </c>
      <c r="B14" s="9">
        <f>IFERROR(INDEX('下載量排名'!B:B,2),"")</f>
        <v/>
      </c>
      <c r="C14" s="9">
        <f>IFERROR(INDEX('下載量排名'!C:C,2),"")</f>
        <v/>
      </c>
      <c r="D14" s="10">
        <f>IFERROR(INDEX('下載量排名'!E:E,2),0)</f>
        <v/>
      </c>
      <c r="F14" s="9" t="inlineStr">
        <is>
          <t>Qwen/Alibaba</t>
        </is>
      </c>
      <c r="G14" s="9">
        <f>COUNTIF('下載量排名'!C:C,"*Qwen*")</f>
        <v/>
      </c>
      <c r="H14" s="11">
        <f>IFERROR(G14/$B$6,0)</f>
        <v/>
      </c>
    </row>
    <row r="15">
      <c r="A15" s="9" t="n">
        <v>2</v>
      </c>
      <c r="B15" s="9">
        <f>IFERROR(INDEX('下載量排名'!B:B,3),"")</f>
        <v/>
      </c>
      <c r="C15" s="9">
        <f>IFERROR(INDEX('下載量排名'!C:C,3),"")</f>
        <v/>
      </c>
      <c r="D15" s="10">
        <f>IFERROR(INDEX('下載量排名'!E:E,3),0)</f>
        <v/>
      </c>
      <c r="F15" s="9" t="inlineStr">
        <is>
          <t>Google</t>
        </is>
      </c>
      <c r="G15" s="9">
        <f>COUNTIF('下載量排名'!C:C,"*Google*")</f>
        <v/>
      </c>
      <c r="H15" s="11">
        <f>IFERROR(G15/$B$6,0)</f>
        <v/>
      </c>
    </row>
    <row r="16">
      <c r="A16" s="9" t="n">
        <v>3</v>
      </c>
      <c r="B16" s="9">
        <f>IFERROR(INDEX('下載量排名'!B:B,4),"")</f>
        <v/>
      </c>
      <c r="C16" s="9">
        <f>IFERROR(INDEX('下載量排名'!C:C,4),"")</f>
        <v/>
      </c>
      <c r="D16" s="10">
        <f>IFERROR(INDEX('下載量排名'!E:E,4),0)</f>
        <v/>
      </c>
      <c r="F16" s="9" t="inlineStr">
        <is>
          <t>Microsoft</t>
        </is>
      </c>
      <c r="G16" s="9">
        <f>COUNTIF('下載量排名'!C:C,"*Microsoft*")</f>
        <v/>
      </c>
      <c r="H16" s="11">
        <f>IFERROR(G16/$B$6,0)</f>
        <v/>
      </c>
    </row>
    <row r="17">
      <c r="A17" s="9" t="n">
        <v>4</v>
      </c>
      <c r="B17" s="9">
        <f>IFERROR(INDEX('下載量排名'!B:B,5),"")</f>
        <v/>
      </c>
      <c r="C17" s="9">
        <f>IFERROR(INDEX('下載量排名'!C:C,5),"")</f>
        <v/>
      </c>
      <c r="D17" s="10">
        <f>IFERROR(INDEX('下載量排名'!E:E,5),0)</f>
        <v/>
      </c>
      <c r="F17" s="9" t="inlineStr">
        <is>
          <t>OpenGVLab</t>
        </is>
      </c>
      <c r="G17" s="9">
        <f>COUNTIF('下載量排名'!C:C,"*OpenGVLab*")</f>
        <v/>
      </c>
      <c r="H17" s="11">
        <f>IFERROR(G17/$B$6,0)</f>
        <v/>
      </c>
    </row>
    <row r="18">
      <c r="A18" s="9" t="n">
        <v>5</v>
      </c>
      <c r="B18" s="9">
        <f>IFERROR(INDEX('下載量排名'!B:B,6),"")</f>
        <v/>
      </c>
      <c r="C18" s="9">
        <f>IFERROR(INDEX('下載量排名'!C:C,6),"")</f>
        <v/>
      </c>
      <c r="D18" s="10">
        <f>IFERROR(INDEX('下載量排名'!E:E,6),0)</f>
        <v/>
      </c>
      <c r="F18" s="9" t="inlineStr">
        <is>
          <t>其他</t>
        </is>
      </c>
      <c r="G18" s="9">
        <f>B6-SUM(G14:G17)</f>
        <v/>
      </c>
      <c r="H18" s="11">
        <f>IFERROR(G18/$B$6,0)</f>
        <v/>
      </c>
    </row>
    <row r="20">
      <c r="A20" s="3" t="inlineStr">
        <is>
          <t>參數規模分佈</t>
        </is>
      </c>
    </row>
    <row r="21">
      <c r="A21" s="20" t="inlineStr">
        <is>
          <t>規模</t>
        </is>
      </c>
      <c r="B21" s="20" t="inlineStr">
        <is>
          <t>數量</t>
        </is>
      </c>
      <c r="C21" s="20" t="inlineStr">
        <is>
          <t>佔比</t>
        </is>
      </c>
    </row>
    <row r="22">
      <c r="A22" s="9" t="inlineStr">
        <is>
          <t>小型 (&lt;4B)</t>
        </is>
      </c>
      <c r="B22" s="9">
        <f>COUNTIF('下載量排名'!H:H,"小型(&lt;4B)")</f>
        <v/>
      </c>
      <c r="C22" s="11">
        <f>IFERROR(B22/$B$6,0)</f>
        <v/>
      </c>
    </row>
    <row r="23">
      <c r="A23" s="9" t="inlineStr">
        <is>
          <t>中型 (4B-20B)</t>
        </is>
      </c>
      <c r="B23" s="9">
        <f>COUNTIF('下載量排名'!H:H,"中型(4B-20B)")</f>
        <v/>
      </c>
      <c r="C23" s="11">
        <f>IFERROR(B23/$B$6,0)</f>
        <v/>
      </c>
    </row>
    <row r="24">
      <c r="A24" s="9" t="inlineStr">
        <is>
          <t>大型 (&gt;20B)</t>
        </is>
      </c>
      <c r="B24" s="9">
        <f>COUNTIF('下載量排名'!H:H,"大型(&gt;20B)")</f>
        <v/>
      </c>
      <c r="C24" s="11">
        <f>IFERROR(B24/$B$6,0)</f>
        <v/>
      </c>
    </row>
    <row r="26">
      <c r="A26" s="27" t="inlineStr">
        <is>
          <t>備註</t>
        </is>
      </c>
    </row>
    <row r="27">
      <c r="A27" s="28" t="inlineStr">
        <is>
          <t>• 資料來源: Hugging Face Hub (huggingface.co/models)</t>
        </is>
      </c>
    </row>
    <row r="28">
      <c r="A28" s="28" t="inlineStr">
        <is>
          <t>• 下載量數據為累計下載次數，可能包含自動化下載</t>
        </is>
      </c>
    </row>
    <row r="29">
      <c r="A29" s="28" t="inlineStr">
        <is>
          <t>• 模型分類基於 Hugging Face 官方部落格和排行榜</t>
        </is>
      </c>
    </row>
    <row r="30">
      <c r="A30" s="28" t="inlineStr">
        <is>
          <t>• 使用計算工具表可根據需求獲取模型推薦</t>
        </is>
      </c>
    </row>
  </sheetData>
  <mergeCells count="4">
    <mergeCell ref="A12:D12"/>
    <mergeCell ref="A4:D4"/>
    <mergeCell ref="F12:H12"/>
    <mergeCell ref="A1:H1"/>
  </mergeCells>
  <dataValidations count="1">
    <dataValidation sqref="B10" showDropDown="0" showInputMessage="0" showErrorMessage="0" allowBlank="0" type="list">
      <formula1>"全部,小型(&lt;4B),中型(4B-20B),大型(&gt;20B)"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8" customWidth="1" min="3" max="3"/>
    <col width="12" customWidth="1" min="4" max="4"/>
    <col width="15" customWidth="1" min="5" max="5"/>
    <col width="10" customWidth="1" min="6" max="6"/>
    <col width="55" customWidth="1" min="7" max="7"/>
    <col width="15" customWidth="1" min="8" max="8"/>
    <col width="15" customWidth="1" min="9" max="9"/>
  </cols>
  <sheetData>
    <row r="1">
      <c r="A1" s="1" t="inlineStr">
        <is>
          <t>Hugging Face VLM 模型下載量排名</t>
        </is>
      </c>
    </row>
    <row r="2">
      <c r="A2" s="12" t="inlineStr">
        <is>
          <t>資料來源: Hugging Face Hub (Image-Text-to-Text 類別)</t>
        </is>
      </c>
    </row>
    <row r="4">
      <c r="A4" s="13" t="inlineStr">
        <is>
          <t>排名</t>
        </is>
      </c>
      <c r="B4" s="13" t="inlineStr">
        <is>
          <t>模型名稱</t>
        </is>
      </c>
      <c r="C4" s="13" t="inlineStr">
        <is>
          <t>開發者</t>
        </is>
      </c>
      <c r="D4" s="13" t="inlineStr">
        <is>
          <t>參數量</t>
        </is>
      </c>
      <c r="E4" s="13" t="inlineStr">
        <is>
          <t>下載量</t>
        </is>
      </c>
      <c r="F4" s="13" t="inlineStr">
        <is>
          <t>Likes</t>
        </is>
      </c>
      <c r="G4" s="13" t="inlineStr">
        <is>
          <t>Hugging Face 連結</t>
        </is>
      </c>
      <c r="H4" s="14" t="inlineStr">
        <is>
          <t>規模分類</t>
        </is>
      </c>
      <c r="I4" s="14" t="inlineStr">
        <is>
          <t>下載/Likes比</t>
        </is>
      </c>
    </row>
    <row r="5">
      <c r="A5" s="15" t="n">
        <v>1</v>
      </c>
      <c r="B5" s="15" t="inlineStr">
        <is>
          <t>moondream2</t>
        </is>
      </c>
      <c r="C5" s="15" t="inlineStr">
        <is>
          <t>vikhyatk</t>
        </is>
      </c>
      <c r="D5" s="15" t="inlineStr">
        <is>
          <t>2B</t>
        </is>
      </c>
      <c r="E5" s="16" t="n">
        <v>3660000</v>
      </c>
      <c r="F5" s="16" t="n">
        <v>1360</v>
      </c>
      <c r="G5" s="17" t="inlineStr">
        <is>
          <t>https://huggingface.co/vikhyatk/moondream2</t>
        </is>
      </c>
      <c r="H5" s="9">
        <f>IFERROR(IF(OR(D5="-",D5=""),"-",IF(VALUE(SUBSTITUTE(D5,"B",""))&lt;4,"小型(&lt;4B)",IF(VALUE(SUBSTITUTE(D5,"B",""))&lt;=20,"中型(4B-20B)","大型(&gt;20B)"))),"未知")</f>
        <v/>
      </c>
      <c r="I5" s="10">
        <f>IFERROR(E5/F5,0)</f>
        <v/>
      </c>
    </row>
    <row r="6">
      <c r="A6" s="15" t="n">
        <v>2</v>
      </c>
      <c r="B6" s="15" t="inlineStr">
        <is>
          <t>DeepSeek-OCR</t>
        </is>
      </c>
      <c r="C6" s="15" t="inlineStr">
        <is>
          <t>deepseek-ai</t>
        </is>
      </c>
      <c r="D6" s="15" t="inlineStr">
        <is>
          <t>3B</t>
        </is>
      </c>
      <c r="E6" s="16" t="n">
        <v>3290000</v>
      </c>
      <c r="F6" s="16" t="n">
        <v>3050</v>
      </c>
      <c r="G6" s="17" t="inlineStr">
        <is>
          <t>https://huggingface.co/deepseek-ai/DeepSeek-OCR</t>
        </is>
      </c>
      <c r="H6" s="9">
        <f>IFERROR(IF(OR(D6="-",D6=""),"-",IF(VALUE(SUBSTITUTE(D6,"B",""))&lt;4,"小型(&lt;4B)",IF(VALUE(SUBSTITUTE(D6,"B",""))&lt;=20,"中型(4B-20B)","大型(&gt;20B)"))),"未知")</f>
        <v/>
      </c>
      <c r="I6" s="10">
        <f>IFERROR(E6/F6,0)</f>
        <v/>
      </c>
    </row>
    <row r="7">
      <c r="A7" s="15" t="n">
        <v>3</v>
      </c>
      <c r="B7" s="15" t="inlineStr">
        <is>
          <t>Qwen3-VL-8B-Instruct</t>
        </is>
      </c>
      <c r="C7" s="15" t="inlineStr">
        <is>
          <t>Qwen</t>
        </is>
      </c>
      <c r="D7" s="15" t="inlineStr">
        <is>
          <t>9B</t>
        </is>
      </c>
      <c r="E7" s="16" t="n">
        <v>2350000</v>
      </c>
      <c r="F7" s="16" t="n">
        <v>633</v>
      </c>
      <c r="G7" s="17" t="inlineStr">
        <is>
          <t>https://huggingface.co/Qwen/Qwen3-VL-8B-Instruct</t>
        </is>
      </c>
      <c r="H7" s="9">
        <f>IFERROR(IF(OR(D7="-",D7=""),"-",IF(VALUE(SUBSTITUTE(D7,"B",""))&lt;4,"小型(&lt;4B)",IF(VALUE(SUBSTITUTE(D7,"B",""))&lt;=20,"中型(4B-20B)","大型(&gt;20B)"))),"未知")</f>
        <v/>
      </c>
      <c r="I7" s="10">
        <f>IFERROR(E7/F7,0)</f>
        <v/>
      </c>
    </row>
    <row r="8">
      <c r="A8" s="15" t="n">
        <v>4</v>
      </c>
      <c r="B8" s="15" t="inlineStr">
        <is>
          <t>Qwen2.5-VL-7B-Instruct</t>
        </is>
      </c>
      <c r="C8" s="15" t="inlineStr">
        <is>
          <t>Qwen</t>
        </is>
      </c>
      <c r="D8" s="15" t="inlineStr">
        <is>
          <t>8B</t>
        </is>
      </c>
      <c r="E8" s="16" t="n">
        <v>2250000</v>
      </c>
      <c r="F8" s="16" t="n">
        <v>1420</v>
      </c>
      <c r="G8" s="17" t="inlineStr">
        <is>
          <t>https://huggingface.co/Qwen/Qwen2.5-VL-7B-Instruct</t>
        </is>
      </c>
      <c r="H8" s="9">
        <f>IFERROR(IF(OR(D8="-",D8=""),"-",IF(VALUE(SUBSTITUTE(D8,"B",""))&lt;4,"小型(&lt;4B)",IF(VALUE(SUBSTITUTE(D8,"B",""))&lt;=20,"中型(4B-20B)","大型(&gt;20B)"))),"未知")</f>
        <v/>
      </c>
      <c r="I8" s="10">
        <f>IFERROR(E8/F8,0)</f>
        <v/>
      </c>
    </row>
    <row r="9">
      <c r="A9" s="15" t="n">
        <v>5</v>
      </c>
      <c r="B9" s="15" t="inlineStr">
        <is>
          <t>Qwen2.5-VL-3B-Instruct</t>
        </is>
      </c>
      <c r="C9" s="15" t="inlineStr">
        <is>
          <t>Qwen</t>
        </is>
      </c>
      <c r="D9" s="15" t="inlineStr">
        <is>
          <t>4B</t>
        </is>
      </c>
      <c r="E9" s="16" t="n">
        <v>2050000</v>
      </c>
      <c r="F9" s="16" t="n">
        <v>585</v>
      </c>
      <c r="G9" s="17" t="inlineStr">
        <is>
          <t>https://huggingface.co/Qwen/Qwen2.5-VL-3B-Instruct</t>
        </is>
      </c>
      <c r="H9" s="9">
        <f>IFERROR(IF(OR(D9="-",D9=""),"-",IF(VALUE(SUBSTITUTE(D9,"B",""))&lt;4,"小型(&lt;4B)",IF(VALUE(SUBSTITUTE(D9,"B",""))&lt;=20,"中型(4B-20B)","大型(&gt;20B)"))),"未知")</f>
        <v/>
      </c>
      <c r="I9" s="10">
        <f>IFERROR(E9/F9,0)</f>
        <v/>
      </c>
    </row>
    <row r="10">
      <c r="A10" s="15" t="n">
        <v>6</v>
      </c>
      <c r="B10" s="15" t="inlineStr">
        <is>
          <t>openvla-7b</t>
        </is>
      </c>
      <c r="C10" s="15" t="inlineStr">
        <is>
          <t>openvla</t>
        </is>
      </c>
      <c r="D10" s="15" t="inlineStr">
        <is>
          <t>8B</t>
        </is>
      </c>
      <c r="E10" s="16" t="n">
        <v>1790000</v>
      </c>
      <c r="F10" s="16" t="n">
        <v>161</v>
      </c>
      <c r="G10" s="17" t="inlineStr">
        <is>
          <t>https://huggingface.co/openvla/openvla-7b</t>
        </is>
      </c>
      <c r="H10" s="9">
        <f>IFERROR(IF(OR(D10="-",D10=""),"-",IF(VALUE(SUBSTITUTE(D10,"B",""))&lt;4,"小型(&lt;4B)",IF(VALUE(SUBSTITUTE(D10,"B",""))&lt;=20,"中型(4B-20B)","大型(&gt;20B)"))),"未知")</f>
        <v/>
      </c>
      <c r="I10" s="10">
        <f>IFERROR(E10/F10,0)</f>
        <v/>
      </c>
    </row>
    <row r="11">
      <c r="A11" s="15" t="n">
        <v>7</v>
      </c>
      <c r="B11" s="15" t="inlineStr">
        <is>
          <t>Qwen2-VL-2B-Instruct</t>
        </is>
      </c>
      <c r="C11" s="15" t="inlineStr">
        <is>
          <t>Qwen</t>
        </is>
      </c>
      <c r="D11" s="15" t="inlineStr">
        <is>
          <t>2B</t>
        </is>
      </c>
      <c r="E11" s="16" t="n">
        <v>1540000</v>
      </c>
      <c r="F11" s="16" t="n">
        <v>477</v>
      </c>
      <c r="G11" s="17" t="inlineStr">
        <is>
          <t>https://huggingface.co/Qwen/Qwen2-VL-2B-Instruct</t>
        </is>
      </c>
      <c r="H11" s="9">
        <f>IFERROR(IF(OR(D11="-",D11=""),"-",IF(VALUE(SUBSTITUTE(D11,"B",""))&lt;4,"小型(&lt;4B)",IF(VALUE(SUBSTITUTE(D11,"B",""))&lt;=20,"中型(4B-20B)","大型(&gt;20B)"))),"未知")</f>
        <v/>
      </c>
      <c r="I11" s="10">
        <f>IFERROR(E11/F11,0)</f>
        <v/>
      </c>
    </row>
    <row r="12">
      <c r="A12" s="15" t="n">
        <v>8</v>
      </c>
      <c r="B12" s="15" t="inlineStr">
        <is>
          <t>gemma-3-27b-it</t>
        </is>
      </c>
      <c r="C12" s="15" t="inlineStr">
        <is>
          <t>Google</t>
        </is>
      </c>
      <c r="D12" s="15" t="inlineStr">
        <is>
          <t>27B</t>
        </is>
      </c>
      <c r="E12" s="16" t="n">
        <v>1420000</v>
      </c>
      <c r="F12" s="16" t="n">
        <v>1790</v>
      </c>
      <c r="G12" s="17" t="inlineStr">
        <is>
          <t>https://huggingface.co/google/gemma-3-27b-it</t>
        </is>
      </c>
      <c r="H12" s="9">
        <f>IFERROR(IF(OR(D12="-",D12=""),"-",IF(VALUE(SUBSTITUTE(D12,"B",""))&lt;4,"小型(&lt;4B)",IF(VALUE(SUBSTITUTE(D12,"B",""))&lt;=20,"中型(4B-20B)","大型(&gt;20B)"))),"未知")</f>
        <v/>
      </c>
      <c r="I12" s="10">
        <f>IFERROR(E12/F12,0)</f>
        <v/>
      </c>
    </row>
    <row r="13">
      <c r="A13" s="15" t="n">
        <v>9</v>
      </c>
      <c r="B13" s="15" t="inlineStr">
        <is>
          <t>Qwen3-VL-30B-A3B-Instruct</t>
        </is>
      </c>
      <c r="C13" s="15" t="inlineStr">
        <is>
          <t>Qwen</t>
        </is>
      </c>
      <c r="D13" s="15" t="inlineStr">
        <is>
          <t>31B</t>
        </is>
      </c>
      <c r="E13" s="16" t="n">
        <v>1250000</v>
      </c>
      <c r="F13" s="16" t="n">
        <v>490</v>
      </c>
      <c r="G13" s="17" t="inlineStr">
        <is>
          <t>https://huggingface.co/Qwen/Qwen3-VL-30B-A3B-Instruct</t>
        </is>
      </c>
      <c r="H13" s="9">
        <f>IFERROR(IF(OR(D13="-",D13=""),"-",IF(VALUE(SUBSTITUTE(D13,"B",""))&lt;4,"小型(&lt;4B)",IF(VALUE(SUBSTITUTE(D13,"B",""))&lt;=20,"中型(4B-20B)","大型(&gt;20B)"))),"未知")</f>
        <v/>
      </c>
      <c r="I13" s="10">
        <f>IFERROR(E13/F13,0)</f>
        <v/>
      </c>
    </row>
    <row r="14">
      <c r="A14" s="15" t="n">
        <v>10</v>
      </c>
      <c r="B14" s="15" t="inlineStr">
        <is>
          <t>gemma-3-12b-it</t>
        </is>
      </c>
      <c r="C14" s="15" t="inlineStr">
        <is>
          <t>Google</t>
        </is>
      </c>
      <c r="D14" s="15" t="inlineStr">
        <is>
          <t>12B</t>
        </is>
      </c>
      <c r="E14" s="16" t="n">
        <v>1200000</v>
      </c>
      <c r="F14" s="16" t="n">
        <v>608</v>
      </c>
      <c r="G14" s="17" t="inlineStr">
        <is>
          <t>https://huggingface.co/google/gemma-3-12b-it</t>
        </is>
      </c>
      <c r="H14" s="9">
        <f>IFERROR(IF(OR(D14="-",D14=""),"-",IF(VALUE(SUBSTITUTE(D14,"B",""))&lt;4,"小型(&lt;4B)",IF(VALUE(SUBSTITUTE(D14,"B",""))&lt;=20,"中型(4B-20B)","大型(&gt;20B)"))),"未知")</f>
        <v/>
      </c>
      <c r="I14" s="10">
        <f>IFERROR(E14/F14,0)</f>
        <v/>
      </c>
    </row>
    <row r="15">
      <c r="A15" s="15" t="n">
        <v>11</v>
      </c>
      <c r="B15" s="15" t="inlineStr">
        <is>
          <t>MinerU2.5-2509-1.2B</t>
        </is>
      </c>
      <c r="C15" s="15" t="inlineStr">
        <is>
          <t>opendatalab</t>
        </is>
      </c>
      <c r="D15" s="15" t="inlineStr">
        <is>
          <t>1B</t>
        </is>
      </c>
      <c r="E15" s="16" t="n">
        <v>1150000</v>
      </c>
      <c r="F15" s="16" t="n">
        <v>311</v>
      </c>
      <c r="G15" s="17" t="inlineStr">
        <is>
          <t>https://huggingface.co/opendatalab/MinerU2.5-2509-1.2B</t>
        </is>
      </c>
      <c r="H15" s="9">
        <f>IFERROR(IF(OR(D15="-",D15=""),"-",IF(VALUE(SUBSTITUTE(D15,"B",""))&lt;4,"小型(&lt;4B)",IF(VALUE(SUBSTITUTE(D15,"B",""))&lt;=20,"中型(4B-20B)","大型(&gt;20B)"))),"未知")</f>
        <v/>
      </c>
      <c r="I15" s="10">
        <f>IFERROR(E15/F15,0)</f>
        <v/>
      </c>
    </row>
    <row r="16">
      <c r="A16" s="15" t="n">
        <v>12</v>
      </c>
      <c r="B16" s="15" t="inlineStr">
        <is>
          <t>Qwen2-VL-7B-Instruct</t>
        </is>
      </c>
      <c r="C16" s="15" t="inlineStr">
        <is>
          <t>Qwen</t>
        </is>
      </c>
      <c r="D16" s="15" t="inlineStr">
        <is>
          <t>8B</t>
        </is>
      </c>
      <c r="E16" s="16" t="n">
        <v>1130000</v>
      </c>
      <c r="F16" s="16" t="n">
        <v>1260</v>
      </c>
      <c r="G16" s="17" t="inlineStr">
        <is>
          <t>https://huggingface.co/Qwen/Qwen2-VL-7B-Instruct</t>
        </is>
      </c>
      <c r="H16" s="9">
        <f>IFERROR(IF(OR(D16="-",D16=""),"-",IF(VALUE(SUBSTITUTE(D16,"B",""))&lt;4,"小型(&lt;4B)",IF(VALUE(SUBSTITUTE(D16,"B",""))&lt;=20,"中型(4B-20B)","大型(&gt;20B)"))),"未知")</f>
        <v/>
      </c>
      <c r="I16" s="10">
        <f>IFERROR(E16/F16,0)</f>
        <v/>
      </c>
    </row>
    <row r="17">
      <c r="A17" s="15" t="n">
        <v>13</v>
      </c>
      <c r="B17" s="15" t="inlineStr">
        <is>
          <t>Qwen3-VL-2B-Instruct</t>
        </is>
      </c>
      <c r="C17" s="15" t="inlineStr">
        <is>
          <t>Qwen</t>
        </is>
      </c>
      <c r="D17" s="15" t="inlineStr">
        <is>
          <t>2B</t>
        </is>
      </c>
      <c r="E17" s="16" t="n">
        <v>1120000</v>
      </c>
      <c r="F17" s="16" t="n">
        <v>266</v>
      </c>
      <c r="G17" s="17" t="inlineStr">
        <is>
          <t>https://huggingface.co/Qwen/Qwen3-VL-2B-Instruct</t>
        </is>
      </c>
      <c r="H17" s="9">
        <f>IFERROR(IF(OR(D17="-",D17=""),"-",IF(VALUE(SUBSTITUTE(D17,"B",""))&lt;4,"小型(&lt;4B)",IF(VALUE(SUBSTITUTE(D17,"B",""))&lt;=20,"中型(4B-20B)","大型(&gt;20B)"))),"未知")</f>
        <v/>
      </c>
      <c r="I17" s="10">
        <f>IFERROR(E17/F17,0)</f>
        <v/>
      </c>
    </row>
    <row r="18">
      <c r="A18" s="15" t="n">
        <v>14</v>
      </c>
      <c r="B18" s="15" t="inlineStr">
        <is>
          <t>llava-1.5-7b-hf</t>
        </is>
      </c>
      <c r="C18" s="15" t="inlineStr">
        <is>
          <t>llava-hf</t>
        </is>
      </c>
      <c r="D18" s="15" t="inlineStr">
        <is>
          <t>7B</t>
        </is>
      </c>
      <c r="E18" s="16" t="n">
        <v>946000</v>
      </c>
      <c r="F18" s="16" t="n">
        <v>328</v>
      </c>
      <c r="G18" s="17" t="inlineStr">
        <is>
          <t>https://huggingface.co/llava-hf/llava-1.5-7b-hf</t>
        </is>
      </c>
      <c r="H18" s="9">
        <f>IFERROR(IF(OR(D18="-",D18=""),"-",IF(VALUE(SUBSTITUTE(D18,"B",""))&lt;4,"小型(&lt;4B)",IF(VALUE(SUBSTITUTE(D18,"B",""))&lt;=20,"中型(4B-20B)","大型(&gt;20B)"))),"未知")</f>
        <v/>
      </c>
      <c r="I18" s="10">
        <f>IFERROR(E18/F18,0)</f>
        <v/>
      </c>
    </row>
    <row r="19">
      <c r="A19" s="15" t="n">
        <v>15</v>
      </c>
      <c r="B19" s="15" t="inlineStr">
        <is>
          <t>HunyuanOCR</t>
        </is>
      </c>
      <c r="C19" s="15" t="inlineStr">
        <is>
          <t>Tencent</t>
        </is>
      </c>
      <c r="D19" s="15" t="inlineStr">
        <is>
          <t>1.0B</t>
        </is>
      </c>
      <c r="E19" s="16" t="n">
        <v>897000</v>
      </c>
      <c r="F19" s="16" t="n">
        <v>671</v>
      </c>
      <c r="G19" s="17" t="inlineStr">
        <is>
          <t>https://huggingface.co/tencent/HunyuanOCR</t>
        </is>
      </c>
      <c r="H19" s="9">
        <f>IFERROR(IF(OR(D19="-",D19=""),"-",IF(VALUE(SUBSTITUTE(D19,"B",""))&lt;4,"小型(&lt;4B)",IF(VALUE(SUBSTITUTE(D19,"B",""))&lt;=20,"中型(4B-20B)","大型(&gt;20B)"))),"未知")</f>
        <v/>
      </c>
      <c r="I19" s="10">
        <f>IFERROR(E19/F19,0)</f>
        <v/>
      </c>
    </row>
    <row r="20">
      <c r="A20" s="15" t="n">
        <v>16</v>
      </c>
      <c r="B20" s="15" t="inlineStr">
        <is>
          <t>Llama-3.1-Nemotron-Nano-VL-8B-V1</t>
        </is>
      </c>
      <c r="C20" s="15" t="inlineStr">
        <is>
          <t>NVIDIA</t>
        </is>
      </c>
      <c r="D20" s="15" t="inlineStr">
        <is>
          <t>8B</t>
        </is>
      </c>
      <c r="E20" s="16" t="n">
        <v>861000</v>
      </c>
      <c r="F20" s="16" t="n">
        <v>171</v>
      </c>
      <c r="G20" s="17" t="inlineStr">
        <is>
          <t>https://huggingface.co/nvidia/Llama-3.1-Nemotron-Nano-VL-8B-V1</t>
        </is>
      </c>
      <c r="H20" s="9">
        <f>IFERROR(IF(OR(D20="-",D20=""),"-",IF(VALUE(SUBSTITUTE(D20,"B",""))&lt;4,"小型(&lt;4B)",IF(VALUE(SUBSTITUTE(D20,"B",""))&lt;=20,"中型(4B-20B)","大型(&gt;20B)"))),"未知")</f>
        <v/>
      </c>
      <c r="I20" s="10">
        <f>IFERROR(E20/F20,0)</f>
        <v/>
      </c>
    </row>
    <row r="21">
      <c r="A21" s="15" t="n">
        <v>17</v>
      </c>
      <c r="B21" s="15" t="inlineStr">
        <is>
          <t>InternVL2-2B</t>
        </is>
      </c>
      <c r="C21" s="15" t="inlineStr">
        <is>
          <t>OpenGVLab</t>
        </is>
      </c>
      <c r="D21" s="15" t="inlineStr">
        <is>
          <t>2B</t>
        </is>
      </c>
      <c r="E21" s="16" t="n">
        <v>859000</v>
      </c>
      <c r="F21" s="16" t="n">
        <v>78</v>
      </c>
      <c r="G21" s="17" t="inlineStr">
        <is>
          <t>https://huggingface.co/OpenGVLab/InternVL2-2B</t>
        </is>
      </c>
      <c r="H21" s="9">
        <f>IFERROR(IF(OR(D21="-",D21=""),"-",IF(VALUE(SUBSTITUTE(D21,"B",""))&lt;4,"小型(&lt;4B)",IF(VALUE(SUBSTITUTE(D21,"B",""))&lt;=20,"中型(4B-20B)","大型(&gt;20B)"))),"未知")</f>
        <v/>
      </c>
      <c r="I21" s="10">
        <f>IFERROR(E21/F21,0)</f>
        <v/>
      </c>
    </row>
    <row r="22">
      <c r="A22" s="15" t="n">
        <v>18</v>
      </c>
      <c r="B22" s="15" t="inlineStr">
        <is>
          <t>gemma-3-4b-it</t>
        </is>
      </c>
      <c r="C22" s="15" t="inlineStr">
        <is>
          <t>Google</t>
        </is>
      </c>
      <c r="D22" s="15" t="inlineStr">
        <is>
          <t>4B</t>
        </is>
      </c>
      <c r="E22" s="16" t="n">
        <v>771000</v>
      </c>
      <c r="F22" s="16" t="n">
        <v>1090</v>
      </c>
      <c r="G22" s="17" t="inlineStr">
        <is>
          <t>https://huggingface.co/google/gemma-3-4b-it</t>
        </is>
      </c>
      <c r="H22" s="9">
        <f>IFERROR(IF(OR(D22="-",D22=""),"-",IF(VALUE(SUBSTITUTE(D22,"B",""))&lt;4,"小型(&lt;4B)",IF(VALUE(SUBSTITUTE(D22,"B",""))&lt;=20,"中型(4B-20B)","大型(&gt;20B)"))),"未知")</f>
        <v/>
      </c>
      <c r="I22" s="10">
        <f>IFERROR(E22/F22,0)</f>
        <v/>
      </c>
    </row>
    <row r="23">
      <c r="A23" s="15" t="n">
        <v>19</v>
      </c>
      <c r="B23" s="15" t="inlineStr">
        <is>
          <t>InternVL3_5-GPT-OSS-20B-A4B-Preview-HF</t>
        </is>
      </c>
      <c r="C23" s="15" t="inlineStr">
        <is>
          <t>OpenGVLab</t>
        </is>
      </c>
      <c r="D23" s="15" t="inlineStr">
        <is>
          <t>21B</t>
        </is>
      </c>
      <c r="E23" s="16" t="n">
        <v>713000</v>
      </c>
      <c r="F23" s="16" t="n">
        <v>7</v>
      </c>
      <c r="G23" s="17" t="inlineStr">
        <is>
          <t>https://huggingface.co/OpenGVLab/InternVL3_5-GPT-OSS-20B-A4B-Preview-HF</t>
        </is>
      </c>
      <c r="H23" s="9">
        <f>IFERROR(IF(OR(D23="-",D23=""),"-",IF(VALUE(SUBSTITUTE(D23,"B",""))&lt;4,"小型(&lt;4B)",IF(VALUE(SUBSTITUTE(D23,"B",""))&lt;=20,"中型(4B-20B)","大型(&gt;20B)"))),"未知")</f>
        <v/>
      </c>
      <c r="I23" s="10">
        <f>IFERROR(E23/F23,0)</f>
        <v/>
      </c>
    </row>
    <row r="24">
      <c r="A24" s="15" t="n">
        <v>20</v>
      </c>
      <c r="B24" s="15" t="inlineStr">
        <is>
          <t>Florence-2-large</t>
        </is>
      </c>
      <c r="C24" s="15" t="inlineStr">
        <is>
          <t>Microsoft</t>
        </is>
      </c>
      <c r="D24" s="15" t="inlineStr">
        <is>
          <t>0.8B</t>
        </is>
      </c>
      <c r="E24" s="16" t="n">
        <v>681000</v>
      </c>
      <c r="F24" s="16" t="n">
        <v>1730</v>
      </c>
      <c r="G24" s="17" t="inlineStr">
        <is>
          <t>https://huggingface.co/microsoft/Florence-2-large</t>
        </is>
      </c>
      <c r="H24" s="9">
        <f>IFERROR(IF(OR(D24="-",D24=""),"-",IF(VALUE(SUBSTITUTE(D24,"B",""))&lt;4,"小型(&lt;4B)",IF(VALUE(SUBSTITUTE(D24,"B",""))&lt;=20,"中型(4B-20B)","大型(&gt;20B)"))),"未知")</f>
        <v/>
      </c>
      <c r="I24" s="10">
        <f>IFERROR(E24/F24,0)</f>
        <v/>
      </c>
    </row>
    <row r="25">
      <c r="A25" s="15" t="n">
        <v>21</v>
      </c>
      <c r="B25" s="15" t="inlineStr">
        <is>
          <t>Phi-3.5-vision-instruct</t>
        </is>
      </c>
      <c r="C25" s="15" t="inlineStr">
        <is>
          <t>Microsoft</t>
        </is>
      </c>
      <c r="D25" s="15" t="inlineStr">
        <is>
          <t>4B</t>
        </is>
      </c>
      <c r="E25" s="16" t="n">
        <v>645000</v>
      </c>
      <c r="F25" s="16" t="n">
        <v>724</v>
      </c>
      <c r="G25" s="17" t="inlineStr">
        <is>
          <t>https://huggingface.co/microsoft/Phi-3.5-vision-instruct</t>
        </is>
      </c>
      <c r="H25" s="9">
        <f>IFERROR(IF(OR(D25="-",D25=""),"-",IF(VALUE(SUBSTITUTE(D25,"B",""))&lt;4,"小型(&lt;4B)",IF(VALUE(SUBSTITUTE(D25,"B",""))&lt;=20,"中型(4B-20B)","大型(&gt;20B)"))),"未知")</f>
        <v/>
      </c>
      <c r="I25" s="10">
        <f>IFERROR(E25/F25,0)</f>
        <v/>
      </c>
    </row>
    <row r="26">
      <c r="A26" s="15" t="n">
        <v>22</v>
      </c>
      <c r="B26" s="15" t="inlineStr">
        <is>
          <t>Qwen3-VL-4B-Instruct</t>
        </is>
      </c>
      <c r="C26" s="15" t="inlineStr">
        <is>
          <t>Qwen</t>
        </is>
      </c>
      <c r="D26" s="15" t="inlineStr">
        <is>
          <t>4B</t>
        </is>
      </c>
      <c r="E26" s="16" t="n">
        <v>577000</v>
      </c>
      <c r="F26" s="16" t="n">
        <v>295</v>
      </c>
      <c r="G26" s="17" t="inlineStr">
        <is>
          <t>https://huggingface.co/Qwen/Qwen3-VL-4B-Instruct</t>
        </is>
      </c>
      <c r="H26" s="9">
        <f>IFERROR(IF(OR(D26="-",D26=""),"-",IF(VALUE(SUBSTITUTE(D26,"B",""))&lt;4,"小型(&lt;4B)",IF(VALUE(SUBSTITUTE(D26,"B",""))&lt;=20,"中型(4B-20B)","大型(&gt;20B)"))),"未知")</f>
        <v/>
      </c>
      <c r="I26" s="10">
        <f>IFERROR(E26/F26,0)</f>
        <v/>
      </c>
    </row>
    <row r="27">
      <c r="A27" s="15" t="n">
        <v>23</v>
      </c>
      <c r="B27" s="15" t="inlineStr">
        <is>
          <t>Florence-2-base</t>
        </is>
      </c>
      <c r="C27" s="15" t="inlineStr">
        <is>
          <t>Microsoft</t>
        </is>
      </c>
      <c r="D27" s="15" t="inlineStr">
        <is>
          <t>0.2B</t>
        </is>
      </c>
      <c r="E27" s="16" t="n">
        <v>571000</v>
      </c>
      <c r="F27" s="16" t="n">
        <v>330</v>
      </c>
      <c r="G27" s="17" t="inlineStr">
        <is>
          <t>https://huggingface.co/microsoft/Florence-2-base</t>
        </is>
      </c>
      <c r="H27" s="9">
        <f>IFERROR(IF(OR(D27="-",D27=""),"-",IF(VALUE(SUBSTITUTE(D27,"B",""))&lt;4,"小型(&lt;4B)",IF(VALUE(SUBSTITUTE(D27,"B",""))&lt;=20,"中型(4B-20B)","大型(&gt;20B)"))),"未知")</f>
        <v/>
      </c>
      <c r="I27" s="10">
        <f>IFERROR(E27/F27,0)</f>
        <v/>
      </c>
    </row>
    <row r="28">
      <c r="A28" s="15" t="n">
        <v>24</v>
      </c>
      <c r="B28" s="15" t="inlineStr">
        <is>
          <t>InternVL2-1B</t>
        </is>
      </c>
      <c r="C28" s="15" t="inlineStr">
        <is>
          <t>OpenGVLab</t>
        </is>
      </c>
      <c r="D28" s="15" t="inlineStr">
        <is>
          <t>0.9B</t>
        </is>
      </c>
      <c r="E28" s="16" t="n">
        <v>519000</v>
      </c>
      <c r="F28" s="16" t="n">
        <v>78</v>
      </c>
      <c r="G28" s="17" t="inlineStr">
        <is>
          <t>https://huggingface.co/OpenGVLab/InternVL2-1B</t>
        </is>
      </c>
      <c r="H28" s="9">
        <f>IFERROR(IF(OR(D28="-",D28=""),"-",IF(VALUE(SUBSTITUTE(D28,"B",""))&lt;4,"小型(&lt;4B)",IF(VALUE(SUBSTITUTE(D28,"B",""))&lt;=20,"中型(4B-20B)","大型(&gt;20B)"))),"未知")</f>
        <v/>
      </c>
      <c r="I28" s="10">
        <f>IFERROR(E28/F28,0)</f>
        <v/>
      </c>
    </row>
    <row r="29">
      <c r="A29" s="15" t="n">
        <v>25</v>
      </c>
      <c r="B29" s="15" t="inlineStr">
        <is>
          <t>dots.ocr</t>
        </is>
      </c>
      <c r="C29" s="15" t="inlineStr">
        <is>
          <t>rednote-hilab</t>
        </is>
      </c>
      <c r="D29" s="15" t="inlineStr">
        <is>
          <t>3B</t>
        </is>
      </c>
      <c r="E29" s="16" t="n">
        <v>514000</v>
      </c>
      <c r="F29" s="16" t="n">
        <v>1180</v>
      </c>
      <c r="G29" s="17" t="inlineStr">
        <is>
          <t>https://huggingface.co/rednote-hilab/dots.ocr</t>
        </is>
      </c>
      <c r="H29" s="9">
        <f>IFERROR(IF(OR(D29="-",D29=""),"-",IF(VALUE(SUBSTITUTE(D29,"B",""))&lt;4,"小型(&lt;4B)",IF(VALUE(SUBSTITUTE(D29,"B",""))&lt;=20,"中型(4B-20B)","大型(&gt;20B)"))),"未知")</f>
        <v/>
      </c>
      <c r="I29" s="10">
        <f>IFERROR(E29/F29,0)</f>
        <v/>
      </c>
    </row>
    <row r="30">
      <c r="A30" s="15" t="n">
        <v>26</v>
      </c>
      <c r="B30" s="15" t="inlineStr">
        <is>
          <t>blip2-opt-2.7b</t>
        </is>
      </c>
      <c r="C30" s="15" t="inlineStr">
        <is>
          <t>Salesforce</t>
        </is>
      </c>
      <c r="D30" s="15" t="inlineStr">
        <is>
          <t>4B</t>
        </is>
      </c>
      <c r="E30" s="16" t="n">
        <v>512000</v>
      </c>
      <c r="F30" s="16" t="n">
        <v>427</v>
      </c>
      <c r="G30" s="17" t="inlineStr">
        <is>
          <t>https://huggingface.co/Salesforce/blip2-opt-2.7b</t>
        </is>
      </c>
      <c r="H30" s="9">
        <f>IFERROR(IF(OR(D30="-",D30=""),"-",IF(VALUE(SUBSTITUTE(D30,"B",""))&lt;4,"小型(&lt;4B)",IF(VALUE(SUBSTITUTE(D30,"B",""))&lt;=20,"中型(4B-20B)","大型(&gt;20B)"))),"未知")</f>
        <v/>
      </c>
      <c r="I30" s="10">
        <f>IFERROR(E30/F30,0)</f>
        <v/>
      </c>
    </row>
    <row r="31">
      <c r="A31" s="15" t="n">
        <v>27</v>
      </c>
      <c r="B31" s="15" t="inlineStr">
        <is>
          <t>Fara-7B</t>
        </is>
      </c>
      <c r="C31" s="15" t="inlineStr">
        <is>
          <t>Microsoft</t>
        </is>
      </c>
      <c r="D31" s="15" t="inlineStr">
        <is>
          <t>8B</t>
        </is>
      </c>
      <c r="E31" s="16" t="n">
        <v>416000</v>
      </c>
      <c r="F31" s="16" t="n">
        <v>457</v>
      </c>
      <c r="G31" s="17" t="inlineStr">
        <is>
          <t>https://huggingface.co/microsoft/Fara-7B</t>
        </is>
      </c>
      <c r="H31" s="9">
        <f>IFERROR(IF(OR(D31="-",D31=""),"-",IF(VALUE(SUBSTITUTE(D31,"B",""))&lt;4,"小型(&lt;4B)",IF(VALUE(SUBSTITUTE(D31,"B",""))&lt;=20,"中型(4B-20B)","大型(&gt;20B)"))),"未知")</f>
        <v/>
      </c>
      <c r="I31" s="10">
        <f>IFERROR(E31/F31,0)</f>
        <v/>
      </c>
    </row>
    <row r="32">
      <c r="A32" s="15" t="n">
        <v>28</v>
      </c>
      <c r="B32" s="15" t="inlineStr">
        <is>
          <t>GLM-4.6V-Flash-MLX-4bit</t>
        </is>
      </c>
      <c r="C32" s="15" t="inlineStr">
        <is>
          <t>lmstudio-community</t>
        </is>
      </c>
      <c r="D32" s="15" t="inlineStr">
        <is>
          <t>-</t>
        </is>
      </c>
      <c r="E32" s="16" t="n">
        <v>397000</v>
      </c>
      <c r="F32" s="16" t="n">
        <v>1</v>
      </c>
      <c r="G32" s="17" t="inlineStr">
        <is>
          <t>https://huggingface.co/lmstudio-community/GLM-4.6V-Flash-MLX-4bit</t>
        </is>
      </c>
      <c r="H32" s="9">
        <f>IFERROR(IF(OR(D32="-",D32=""),"-",IF(VALUE(SUBSTITUTE(D32,"B",""))&lt;4,"小型(&lt;4B)",IF(VALUE(SUBSTITUTE(D32,"B",""))&lt;=20,"中型(4B-20B)","大型(&gt;20B)"))),"未知")</f>
        <v/>
      </c>
      <c r="I32" s="10">
        <f>IFERROR(E32/F32,0)</f>
        <v/>
      </c>
    </row>
    <row r="33">
      <c r="A33" s="15" t="n">
        <v>29</v>
      </c>
      <c r="B33" s="15" t="inlineStr">
        <is>
          <t>Qwen3-VL-32B-Instruct</t>
        </is>
      </c>
      <c r="C33" s="15" t="inlineStr">
        <is>
          <t>Qwen</t>
        </is>
      </c>
      <c r="D33" s="15" t="inlineStr">
        <is>
          <t>33B</t>
        </is>
      </c>
      <c r="E33" s="16" t="n">
        <v>396000</v>
      </c>
      <c r="F33" s="16" t="n">
        <v>155</v>
      </c>
      <c r="G33" s="17" t="inlineStr">
        <is>
          <t>https://huggingface.co/Qwen/Qwen3-VL-32B-Instruct</t>
        </is>
      </c>
      <c r="H33" s="9">
        <f>IFERROR(IF(OR(D33="-",D33=""),"-",IF(VALUE(SUBSTITUTE(D33,"B",""))&lt;4,"小型(&lt;4B)",IF(VALUE(SUBSTITUTE(D33,"B",""))&lt;=20,"中型(4B-20B)","大型(&gt;20B)"))),"未知")</f>
        <v/>
      </c>
      <c r="I33" s="10">
        <f>IFERROR(E33/F33,0)</f>
        <v/>
      </c>
    </row>
    <row r="36">
      <c r="A36" s="24" t="inlineStr">
        <is>
          <t>統計摘要</t>
        </is>
      </c>
    </row>
    <row r="37">
      <c r="A37" s="22" t="inlineStr">
        <is>
          <t>總模型數:</t>
        </is>
      </c>
      <c r="B37" s="10">
        <f>COUNTA(A5:A33)</f>
        <v/>
      </c>
      <c r="C37" s="25" t="inlineStr">
        <is>
          <t>個</t>
        </is>
      </c>
    </row>
    <row r="38">
      <c r="A38" s="22" t="inlineStr">
        <is>
          <t>總下載量:</t>
        </is>
      </c>
      <c r="B38" s="10">
        <f>SUM(E5:E33)</f>
        <v/>
      </c>
      <c r="C38" s="25" t="inlineStr">
        <is>
          <t>次</t>
        </is>
      </c>
    </row>
    <row r="39">
      <c r="A39" s="22" t="inlineStr">
        <is>
          <t>平均下載量:</t>
        </is>
      </c>
      <c r="B39" s="10">
        <f>IFERROR(AVERAGE(E5:E33),0)</f>
        <v/>
      </c>
      <c r="C39" s="25" t="inlineStr">
        <is>
          <t>次</t>
        </is>
      </c>
    </row>
    <row r="40">
      <c r="A40" s="22" t="inlineStr">
        <is>
          <t>最高下載量:</t>
        </is>
      </c>
      <c r="B40" s="10">
        <f>MAX(E5:E33)</f>
        <v/>
      </c>
      <c r="C40" s="25" t="inlineStr">
        <is>
          <t>次</t>
        </is>
      </c>
    </row>
    <row r="41">
      <c r="A41" s="22" t="inlineStr">
        <is>
          <t>最低下載量:</t>
        </is>
      </c>
      <c r="B41" s="10">
        <f>MIN(E5:E33)</f>
        <v/>
      </c>
      <c r="C41" s="25" t="inlineStr">
        <is>
          <t>次</t>
        </is>
      </c>
    </row>
    <row r="42">
      <c r="A42" s="22" t="inlineStr">
        <is>
          <t>總 Likes:</t>
        </is>
      </c>
      <c r="B42" s="10">
        <f>SUM(F5:F33)</f>
        <v/>
      </c>
      <c r="C42" s="25" t="inlineStr">
        <is>
          <t>個</t>
        </is>
      </c>
    </row>
    <row r="43">
      <c r="A43" s="22" t="inlineStr">
        <is>
          <t>平均 Likes:</t>
        </is>
      </c>
      <c r="B43" s="10">
        <f>IFERROR(AVERAGE(F5:F33),0)</f>
        <v/>
      </c>
      <c r="C43" s="25" t="inlineStr">
        <is>
          <t>個</t>
        </is>
      </c>
    </row>
    <row r="45">
      <c r="A45" s="29" t="inlineStr">
        <is>
          <t>更多模型請訪問: https://huggingface.co/models?pipeline_tag=image-text-to-text</t>
        </is>
      </c>
    </row>
  </sheetData>
  <mergeCells count="2">
    <mergeCell ref="A36:C36"/>
    <mergeCell ref="A1:G1"/>
  </mergeCells>
  <conditionalFormatting sqref="E5:E33">
    <cfRule type="dataBar" priority="1">
      <dataBar showValue="1">
        <cfvo type="min"/>
        <cfvo type="max"/>
        <color rgb="005B9BD5"/>
      </dataBar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A45" r:id="rId3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35" customWidth="1" min="3" max="3"/>
    <col width="30" customWidth="1" min="4" max="4"/>
    <col width="12" customWidth="1" min="5" max="5"/>
    <col width="15" customWidth="1" min="6" max="6"/>
  </cols>
  <sheetData>
    <row r="1">
      <c r="A1" s="1" t="inlineStr">
        <is>
          <t>Hugging Face 官方推薦 VLM 模型</t>
        </is>
      </c>
    </row>
    <row r="2">
      <c r="A2" s="12" t="inlineStr">
        <is>
          <t>來源: Hugging Face Blog - Vision Language Models (May 2025)</t>
        </is>
      </c>
    </row>
    <row r="4">
      <c r="A4" s="13" t="inlineStr">
        <is>
          <t>模型名稱</t>
        </is>
      </c>
      <c r="B4" s="13" t="inlineStr">
        <is>
          <t>參數量</t>
        </is>
      </c>
      <c r="C4" s="13" t="inlineStr">
        <is>
          <t>特點</t>
        </is>
      </c>
      <c r="D4" s="13" t="inlineStr">
        <is>
          <t>適用場景</t>
        </is>
      </c>
      <c r="E4" s="13" t="inlineStr">
        <is>
          <t>推薦指數</t>
        </is>
      </c>
      <c r="F4" s="14" t="inlineStr">
        <is>
          <t>推薦指數</t>
        </is>
      </c>
    </row>
    <row r="5">
      <c r="A5" s="15" t="inlineStr">
        <is>
          <t>Qwen2.5-VL</t>
        </is>
      </c>
      <c r="B5" s="15" t="inlineStr">
        <is>
          <t>3B - 72B</t>
        </is>
      </c>
      <c r="C5" s="15" t="inlineStr">
        <is>
          <t>多功能模型，具代理能力、數學推理</t>
        </is>
      </c>
      <c r="D5" s="15" t="inlineStr">
        <is>
          <t>通用多模態任務、代理應用</t>
        </is>
      </c>
      <c r="E5" s="18" t="n">
        <v>5</v>
      </c>
      <c r="F5" s="19" t="inlineStr">
        <is>
          <t>★★★★★</t>
        </is>
      </c>
    </row>
    <row r="6">
      <c r="A6" s="15" t="inlineStr">
        <is>
          <t>RolmOCR</t>
        </is>
      </c>
      <c r="B6" s="15" t="inlineStr">
        <is>
          <t>7B</t>
        </is>
      </c>
      <c r="C6" s="15" t="inlineStr">
        <is>
          <t>高性能 OCR 模型</t>
        </is>
      </c>
      <c r="D6" s="15" t="inlineStr">
        <is>
          <t>文檔處理、文字識別</t>
        </is>
      </c>
      <c r="E6" s="18" t="n">
        <v>4</v>
      </c>
      <c r="F6" s="19" t="inlineStr">
        <is>
          <t>★★★★☆</t>
        </is>
      </c>
    </row>
    <row r="7">
      <c r="A7" s="15" t="inlineStr">
        <is>
          <t>Kimi-VL-Thinking</t>
        </is>
      </c>
      <c r="B7" s="15" t="inlineStr">
        <is>
          <t>16B MoE / 3B active</t>
        </is>
      </c>
      <c r="C7" s="15" t="inlineStr">
        <is>
          <t>最佳推理模型，長鏈思考</t>
        </is>
      </c>
      <c r="D7" s="15" t="inlineStr">
        <is>
          <t>複雜推理、數學問題</t>
        </is>
      </c>
      <c r="E7" s="18" t="n">
        <v>5</v>
      </c>
      <c r="F7" s="19" t="inlineStr">
        <is>
          <t>★★★★★</t>
        </is>
      </c>
    </row>
    <row r="8">
      <c r="A8" s="15" t="inlineStr">
        <is>
          <t>SmolVLM2</t>
        </is>
      </c>
      <c r="B8" s="15" t="inlineStr">
        <is>
          <t>256M - 2.2B</t>
        </is>
      </c>
      <c r="C8" s="15" t="inlineStr">
        <is>
          <t>最小視頻語言模型</t>
        </is>
      </c>
      <c r="D8" s="15" t="inlineStr">
        <is>
          <t>邊緣設備、移動應用</t>
        </is>
      </c>
      <c r="E8" s="18" t="n">
        <v>4</v>
      </c>
      <c r="F8" s="19" t="inlineStr">
        <is>
          <t>★★★★☆</t>
        </is>
      </c>
    </row>
    <row r="9">
      <c r="A9" s="15" t="inlineStr">
        <is>
          <t>Llama 4 Scout &amp; Maverick</t>
        </is>
      </c>
      <c r="B9" s="15" t="inlineStr">
        <is>
          <t>109B/400B MoE / 17B active</t>
        </is>
      </c>
      <c r="C9" s="15" t="inlineStr">
        <is>
          <t>超長上下文支援</t>
        </is>
      </c>
      <c r="D9" s="15" t="inlineStr">
        <is>
          <t>長文檔處理、大規模分析</t>
        </is>
      </c>
      <c r="E9" s="18" t="n">
        <v>5</v>
      </c>
      <c r="F9" s="19" t="inlineStr">
        <is>
          <t>★★★★★</t>
        </is>
      </c>
    </row>
    <row r="10">
      <c r="A10" s="15" t="inlineStr">
        <is>
          <t>Molmo</t>
        </is>
      </c>
      <c r="B10" s="15" t="inlineStr">
        <is>
          <t>1B - 72B + MoE</t>
        </is>
      </c>
      <c r="C10" s="15" t="inlineStr">
        <is>
          <t>完全開放，具定位能力</t>
        </is>
      </c>
      <c r="D10" s="15" t="inlineStr">
        <is>
          <t>物件定位、開源研究</t>
        </is>
      </c>
      <c r="E10" s="18" t="n">
        <v>4</v>
      </c>
      <c r="F10" s="19" t="inlineStr">
        <is>
          <t>★★★★☆</t>
        </is>
      </c>
    </row>
    <row r="12">
      <c r="A12" s="3" t="inlineStr">
        <is>
          <t>使用場景建議</t>
        </is>
      </c>
    </row>
    <row r="13">
      <c r="A13" s="20" t="inlineStr">
        <is>
          <t>使用場景</t>
        </is>
      </c>
      <c r="B13" s="20" t="inlineStr">
        <is>
          <t>推薦模型</t>
        </is>
      </c>
      <c r="C13" s="20" t="inlineStr">
        <is>
          <t>原因</t>
        </is>
      </c>
    </row>
    <row r="14">
      <c r="A14" s="15" t="inlineStr">
        <is>
          <t>通用多模態對話</t>
        </is>
      </c>
      <c r="B14" s="15" t="inlineStr">
        <is>
          <t>Qwen2.5-VL-7B</t>
        </is>
      </c>
      <c r="C14" s="15" t="inlineStr">
        <is>
          <t>平衡效能與資源需求</t>
        </is>
      </c>
    </row>
    <row r="15">
      <c r="A15" s="15" t="inlineStr">
        <is>
          <t>文檔 OCR 處理</t>
        </is>
      </c>
      <c r="B15" s="15" t="inlineStr">
        <is>
          <t>DeepSeek-OCR</t>
        </is>
      </c>
      <c r="C15" s="15" t="inlineStr">
        <is>
          <t>專為 OCR 優化，高準確率</t>
        </is>
      </c>
    </row>
    <row r="16">
      <c r="A16" s="15" t="inlineStr">
        <is>
          <t>複雜推理任務</t>
        </is>
      </c>
      <c r="B16" s="15" t="inlineStr">
        <is>
          <t>Kimi-VL-Thinking</t>
        </is>
      </c>
      <c r="C16" s="15" t="inlineStr">
        <is>
          <t>長鏈思考能力強</t>
        </is>
      </c>
    </row>
    <row r="17">
      <c r="A17" s="15" t="inlineStr">
        <is>
          <t>邊緣設備部署</t>
        </is>
      </c>
      <c r="B17" s="15" t="inlineStr">
        <is>
          <t>SmolVLM2 (500M)</t>
        </is>
      </c>
      <c r="C17" s="15" t="inlineStr">
        <is>
          <t>極輕量，可在手機運行</t>
        </is>
      </c>
    </row>
    <row r="18">
      <c r="A18" s="15" t="inlineStr">
        <is>
          <t>研究與實驗</t>
        </is>
      </c>
      <c r="B18" s="15" t="inlineStr">
        <is>
          <t>Molmo</t>
        </is>
      </c>
      <c r="C18" s="15" t="inlineStr">
        <is>
          <t>完全開源，可自由修改</t>
        </is>
      </c>
    </row>
    <row r="19">
      <c r="A19" s="15" t="inlineStr">
        <is>
          <t>長文檔分析</t>
        </is>
      </c>
      <c r="B19" s="15" t="inlineStr">
        <is>
          <t>Llama 4 Scout</t>
        </is>
      </c>
      <c r="C19" s="15" t="inlineStr">
        <is>
          <t>超長上下文支援</t>
        </is>
      </c>
    </row>
  </sheetData>
  <mergeCells count="2">
    <mergeCell ref="A12:E1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30" customWidth="1" min="3" max="3"/>
  </cols>
  <sheetData>
    <row r="1">
      <c r="A1" s="1" t="inlineStr">
        <is>
          <t>VLM 模型分類與架構</t>
        </is>
      </c>
    </row>
    <row r="3">
      <c r="A3" s="3" t="inlineStr">
        <is>
          <t>按模型類型分類</t>
        </is>
      </c>
    </row>
    <row r="4">
      <c r="A4" s="14" t="inlineStr">
        <is>
          <t>類型</t>
        </is>
      </c>
      <c r="B4" s="14" t="inlineStr">
        <is>
          <t>代表模型</t>
        </is>
      </c>
      <c r="C4" s="14" t="inlineStr">
        <is>
          <t>特點</t>
        </is>
      </c>
    </row>
    <row r="5">
      <c r="A5" s="15" t="inlineStr">
        <is>
          <t>Any-to-Any</t>
        </is>
      </c>
      <c r="B5" s="15" t="inlineStr">
        <is>
          <t>Qwen2.5-Omni, MiniCPM-o, Janus-Pro</t>
        </is>
      </c>
      <c r="C5" s="15" t="inlineStr">
        <is>
          <t>可處理任意模態輸入輸出</t>
        </is>
      </c>
    </row>
    <row r="6">
      <c r="A6" s="15" t="inlineStr">
        <is>
          <t>Reasoning</t>
        </is>
      </c>
      <c r="B6" s="15" t="inlineStr">
        <is>
          <t>QVQ-72B, Kimi-VL-Thinking</t>
        </is>
      </c>
      <c r="C6" s="15" t="inlineStr">
        <is>
          <t>複雜推理與長鏈思考</t>
        </is>
      </c>
    </row>
    <row r="7">
      <c r="A7" s="15" t="inlineStr">
        <is>
          <t>Small/Efficient</t>
        </is>
      </c>
      <c r="B7" s="15" t="inlineStr">
        <is>
          <t>SmolVLM, moondream2, Florence-2</t>
        </is>
      </c>
      <c r="C7" s="15" t="inlineStr">
        <is>
          <t>輕量高效，適合邊緣部署</t>
        </is>
      </c>
    </row>
    <row r="8">
      <c r="A8" s="15" t="inlineStr">
        <is>
          <t>MoE</t>
        </is>
      </c>
      <c r="B8" s="15" t="inlineStr">
        <is>
          <t>Kimi-VL, Qwen3-VL-30B-A3B</t>
        </is>
      </c>
      <c r="C8" s="15" t="inlineStr">
        <is>
          <t>混合專家架構，高效推理</t>
        </is>
      </c>
    </row>
    <row r="9">
      <c r="A9" s="15" t="inlineStr">
        <is>
          <t>OCR Specialized</t>
        </is>
      </c>
      <c r="B9" s="15" t="inlineStr">
        <is>
          <t>DeepSeek-OCR, HunyuanOCR, dots.ocr</t>
        </is>
      </c>
      <c r="C9" s="15" t="inlineStr">
        <is>
          <t>專注文字識別</t>
        </is>
      </c>
    </row>
    <row r="10">
      <c r="A10" s="15" t="inlineStr">
        <is>
          <t>Video Understanding</t>
        </is>
      </c>
      <c r="B10" s="15" t="inlineStr">
        <is>
          <t>SmolVLM2, Video-LLaMA</t>
        </is>
      </c>
      <c r="C10" s="15" t="inlineStr">
        <is>
          <t>視頻內容理解</t>
        </is>
      </c>
    </row>
    <row r="13">
      <c r="A13" s="3" t="inlineStr">
        <is>
          <t>按開發者分類</t>
        </is>
      </c>
    </row>
    <row r="14">
      <c r="A14" s="20" t="inlineStr">
        <is>
          <t>開發者</t>
        </is>
      </c>
      <c r="B14" s="20" t="inlineStr">
        <is>
          <t>主要模型系列</t>
        </is>
      </c>
      <c r="C14" s="20" t="inlineStr">
        <is>
          <t>模型數量</t>
        </is>
      </c>
    </row>
    <row r="15">
      <c r="A15" s="15" t="inlineStr">
        <is>
          <t>Qwen (Alibaba)</t>
        </is>
      </c>
      <c r="B15" s="15" t="inlineStr">
        <is>
          <t>Qwen-VL, Qwen2-VL, Qwen2.5-VL, Qwen3-VL</t>
        </is>
      </c>
      <c r="C15" s="15">
        <f>COUNTIF('下載量排名'!C:C,"*Qwen*")</f>
        <v/>
      </c>
    </row>
    <row r="16">
      <c r="A16" s="15" t="inlineStr">
        <is>
          <t>Google DeepMind</t>
        </is>
      </c>
      <c r="B16" s="15" t="inlineStr">
        <is>
          <t>Gemma-3, PaliGemma</t>
        </is>
      </c>
      <c r="C16" s="15">
        <f>COUNTIF('下載量排名'!C:C,"*Google*")</f>
        <v/>
      </c>
    </row>
    <row r="17">
      <c r="A17" s="15" t="inlineStr">
        <is>
          <t>Microsoft</t>
        </is>
      </c>
      <c r="B17" s="15" t="inlineStr">
        <is>
          <t>Florence-2, Phi-3.5-vision, Fara</t>
        </is>
      </c>
      <c r="C17" s="15">
        <f>COUNTIF('下載量排名'!C:C,"*Microsoft*")</f>
        <v/>
      </c>
    </row>
    <row r="18">
      <c r="A18" s="15" t="inlineStr">
        <is>
          <t>OpenGVLab</t>
        </is>
      </c>
      <c r="B18" s="15" t="inlineStr">
        <is>
          <t>InternVL, InternVL2, InternVL3</t>
        </is>
      </c>
      <c r="C18" s="15">
        <f>COUNTIF('下載量排名'!C:C,"*OpenGVLab*")</f>
        <v/>
      </c>
    </row>
    <row r="19">
      <c r="A19" s="15" t="inlineStr">
        <is>
          <t>Meta</t>
        </is>
      </c>
      <c r="B19" s="15" t="inlineStr">
        <is>
          <t>LLaMA, Chameleon</t>
        </is>
      </c>
      <c r="C19" s="15">
        <f>COUNTIF('下載量排名'!C:C,"*Meta*")</f>
        <v/>
      </c>
    </row>
    <row r="20">
      <c r="A20" s="15" t="inlineStr">
        <is>
          <t>DeepSeek AI</t>
        </is>
      </c>
      <c r="B20" s="15" t="inlineStr">
        <is>
          <t>DeepSeek-VL, DeepSeek-OCR, Janus</t>
        </is>
      </c>
      <c r="C20" s="15">
        <f>COUNTIF('下載量排名'!C:C,"*deepseek*")</f>
        <v/>
      </c>
    </row>
    <row r="21">
      <c r="A21" s="15" t="inlineStr">
        <is>
          <t>Tencent</t>
        </is>
      </c>
      <c r="B21" s="15" t="inlineStr">
        <is>
          <t>HunyuanOCR</t>
        </is>
      </c>
      <c r="C21" s="15">
        <f>COUNTIF('下載量排名'!C:C,"*Tencent*")</f>
        <v/>
      </c>
    </row>
    <row r="22">
      <c r="A22" s="15" t="inlineStr">
        <is>
          <t>NVIDIA</t>
        </is>
      </c>
      <c r="B22" s="15" t="inlineStr">
        <is>
          <t>Nemotron-VL</t>
        </is>
      </c>
      <c r="C22" s="15">
        <f>COUNTIF('下載量排名'!C:C,"*NVIDIA*")</f>
        <v/>
      </c>
    </row>
    <row r="25">
      <c r="A25" s="3" t="inlineStr">
        <is>
          <t>2024-2025 VLM 發展趨勢</t>
        </is>
      </c>
    </row>
    <row r="26">
      <c r="A26" s="26" t="inlineStr">
        <is>
          <t>趨勢</t>
        </is>
      </c>
      <c r="B26" s="26" t="inlineStr">
        <is>
          <t>說明</t>
        </is>
      </c>
      <c r="C26" s="26" t="inlineStr">
        <is>
          <t>代表</t>
        </is>
      </c>
    </row>
    <row r="27">
      <c r="A27" s="15" t="inlineStr">
        <is>
          <t>模型小型化</t>
        </is>
      </c>
      <c r="B27" s="15" t="inlineStr">
        <is>
          <t>在保持效能的同時大幅減少參數量</t>
        </is>
      </c>
      <c r="C27" s="15" t="inlineStr">
        <is>
          <t>SmolVLM, moondream2</t>
        </is>
      </c>
    </row>
    <row r="28">
      <c r="A28" s="15" t="inlineStr">
        <is>
          <t>MoE 架構普及</t>
        </is>
      </c>
      <c r="B28" s="15" t="inlineStr">
        <is>
          <t>使用混合專家提高效率</t>
        </is>
      </c>
      <c r="C28" s="15" t="inlineStr">
        <is>
          <t>Kimi-VL, Qwen3-VL-30B-A3B</t>
        </is>
      </c>
    </row>
    <row r="29">
      <c r="A29" s="15" t="inlineStr">
        <is>
          <t>推理能力增強</t>
        </is>
      </c>
      <c r="B29" s="15" t="inlineStr">
        <is>
          <t>加入長鏈思考和複雜推理</t>
        </is>
      </c>
      <c r="C29" s="15" t="inlineStr">
        <is>
          <t>QVQ-72B, Kimi-VL-Thinking</t>
        </is>
      </c>
    </row>
    <row r="30">
      <c r="A30" s="15" t="inlineStr">
        <is>
          <t>多模態統一</t>
        </is>
      </c>
      <c r="B30" s="15" t="inlineStr">
        <is>
          <t>單一模型處理多種模態</t>
        </is>
      </c>
      <c r="C30" s="15" t="inlineStr">
        <is>
          <t>Qwen2.5-Omni, Janus-Pro</t>
        </is>
      </c>
    </row>
    <row r="31">
      <c r="A31" s="15" t="inlineStr">
        <is>
          <t>OCR 專業化</t>
        </is>
      </c>
      <c r="B31" s="15" t="inlineStr">
        <is>
          <t>專門針對文字識別優化</t>
        </is>
      </c>
      <c r="C31" s="15" t="inlineStr">
        <is>
          <t>DeepSeek-OCR, HunyuanOCR</t>
        </is>
      </c>
    </row>
    <row r="32">
      <c r="A32" s="15" t="inlineStr">
        <is>
          <t>開源生態發展</t>
        </is>
      </c>
      <c r="B32" s="15" t="inlineStr">
        <is>
          <t>更多高品質開源模型</t>
        </is>
      </c>
      <c r="C32" s="15" t="inlineStr">
        <is>
          <t>InternVL, Molmo</t>
        </is>
      </c>
    </row>
  </sheetData>
  <mergeCells count="4">
    <mergeCell ref="A13:C13"/>
    <mergeCell ref="A1:E1"/>
    <mergeCell ref="A3:C3"/>
    <mergeCell ref="A25:C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  <col width="30" customWidth="1" min="3" max="3"/>
  </cols>
  <sheetData>
    <row r="1">
      <c r="A1" s="1" t="inlineStr">
        <is>
          <t>VLM 架構技術說明</t>
        </is>
      </c>
    </row>
    <row r="3">
      <c r="A3" s="3" t="inlineStr">
        <is>
          <t>模態融合策略</t>
        </is>
      </c>
    </row>
    <row r="4">
      <c r="A4" s="14" t="inlineStr">
        <is>
          <t>策略</t>
        </is>
      </c>
      <c r="B4" s="14" t="inlineStr">
        <is>
          <t>說明</t>
        </is>
      </c>
      <c r="C4" s="14" t="inlineStr">
        <is>
          <t>代表模型</t>
        </is>
      </c>
    </row>
    <row r="5">
      <c r="A5" s="15" t="inlineStr">
        <is>
          <t>Early Fusion</t>
        </is>
      </c>
      <c r="B5" s="15" t="inlineStr">
        <is>
          <t>視覺和文本輸入在早期階段結合處理</t>
        </is>
      </c>
      <c r="C5" s="15" t="inlineStr">
        <is>
          <t>DALL-E</t>
        </is>
      </c>
    </row>
    <row r="6">
      <c r="A6" s="15" t="inlineStr">
        <is>
          <t>Intermediate Fusion</t>
        </is>
      </c>
      <c r="B6" s="15" t="inlineStr">
        <is>
          <t>各模態獨立處理後再融合，使用跨模態注意力</t>
        </is>
      </c>
      <c r="C6" s="15" t="inlineStr">
        <is>
          <t>VisualBERT, LXMERT</t>
        </is>
      </c>
    </row>
    <row r="7">
      <c r="A7" s="15" t="inlineStr">
        <is>
          <t>Late Fusion</t>
        </is>
      </c>
      <c r="B7" s="15" t="inlineStr">
        <is>
          <t>兩種模態獨立處理到深層，在輸出附近融合</t>
        </is>
      </c>
      <c r="C7" s="15" t="inlineStr">
        <is>
          <t>CLIP</t>
        </is>
      </c>
    </row>
    <row r="10">
      <c r="A10" s="3" t="inlineStr">
        <is>
          <t>模態對齊方法</t>
        </is>
      </c>
    </row>
    <row r="11">
      <c r="A11" s="20" t="inlineStr">
        <is>
          <t>方法</t>
        </is>
      </c>
      <c r="B11" s="20" t="inlineStr">
        <is>
          <t>說明</t>
        </is>
      </c>
      <c r="C11" s="20" t="inlineStr">
        <is>
          <t>應用</t>
        </is>
      </c>
    </row>
    <row r="12">
      <c r="A12" s="15" t="inlineStr">
        <is>
          <t>Cross-Modal Attention</t>
        </is>
      </c>
      <c r="B12" s="15" t="inlineStr">
        <is>
          <t>使用 Transformer 注意力機制對齊圖像與文本元素</t>
        </is>
      </c>
      <c r="C12" s="15" t="inlineStr">
        <is>
          <t>大多數現代 VLM</t>
        </is>
      </c>
    </row>
    <row r="13">
      <c r="A13" s="15" t="inlineStr">
        <is>
          <t>Joint Embedding Space</t>
        </is>
      </c>
      <c r="B13" s="15" t="inlineStr">
        <is>
          <t>創建共享表示空間，語義相似概念靠近</t>
        </is>
      </c>
      <c r="C13" s="15" t="inlineStr">
        <is>
          <t>CLIP, ImageBind</t>
        </is>
      </c>
    </row>
    <row r="14">
      <c r="A14" s="15" t="inlineStr">
        <is>
          <t>Contrastive Learning</t>
        </is>
      </c>
      <c r="B14" s="15" t="inlineStr">
        <is>
          <t>訓練模型拉近語義相似的文本和圖像表示</t>
        </is>
      </c>
      <c r="C14" s="15" t="inlineStr">
        <is>
          <t>CLIP, SigLIP</t>
        </is>
      </c>
    </row>
    <row r="15">
      <c r="A15" s="15" t="inlineStr">
        <is>
          <t>Q-Former</t>
        </is>
      </c>
      <c r="B15" s="15" t="inlineStr">
        <is>
          <t>使用可學習查詢向量橋接視覺和語言模態</t>
        </is>
      </c>
      <c r="C15" s="15" t="inlineStr">
        <is>
          <t>BLIP-2, InstructBLIP</t>
        </is>
      </c>
    </row>
    <row r="16">
      <c r="A16" s="15" t="inlineStr">
        <is>
          <t>Perceiver Resampler</t>
        </is>
      </c>
      <c r="B16" s="15" t="inlineStr">
        <is>
          <t>將可變長度視覺特徵重採樣為固定長度</t>
        </is>
      </c>
      <c r="C16" s="15" t="inlineStr">
        <is>
          <t>Flamingo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15" customWidth="1" min="4" max="4"/>
    <col width="20" customWidth="1" min="5" max="5"/>
    <col width="15" customWidth="1" min="6" max="6"/>
  </cols>
  <sheetData>
    <row r="1">
      <c r="A1" s="1" t="inlineStr">
        <is>
          <t>VLM 模型選擇計算器</t>
        </is>
      </c>
    </row>
    <row r="2">
      <c r="A2" s="2" t="inlineStr">
        <is>
          <t>根據您的需求選擇最適合的模型</t>
        </is>
      </c>
    </row>
    <row r="4">
      <c r="A4" s="21" t="inlineStr">
        <is>
          <t>輸入參數</t>
        </is>
      </c>
      <c r="D4" s="3" t="inlineStr">
        <is>
          <t>快速參考</t>
        </is>
      </c>
    </row>
    <row r="5">
      <c r="A5" s="22" t="inlineStr">
        <is>
          <t>可用 GPU 記憶體 (GB):</t>
        </is>
      </c>
      <c r="B5" s="7" t="n">
        <v>24</v>
      </c>
      <c r="D5" s="20" t="inlineStr">
        <is>
          <t>任務</t>
        </is>
      </c>
      <c r="E5" s="20" t="inlineStr">
        <is>
          <t>推薦模型</t>
        </is>
      </c>
      <c r="F5" s="20" t="inlineStr">
        <is>
          <t>備註</t>
        </is>
      </c>
    </row>
    <row r="6">
      <c r="A6" s="22" t="inlineStr">
        <is>
          <t>是否需要推理能力:</t>
        </is>
      </c>
      <c r="B6" s="7" t="inlineStr">
        <is>
          <t>是</t>
        </is>
      </c>
      <c r="D6" s="15" t="inlineStr">
        <is>
          <t>一般對話</t>
        </is>
      </c>
      <c r="E6" s="15" t="inlineStr">
        <is>
          <t>Qwen2.5-VL-7B</t>
        </is>
      </c>
      <c r="F6" s="15" t="inlineStr">
        <is>
          <t>平衡選擇</t>
        </is>
      </c>
    </row>
    <row r="7">
      <c r="A7" s="22" t="inlineStr">
        <is>
          <t>是否需要 OCR:</t>
        </is>
      </c>
      <c r="B7" s="7" t="inlineStr">
        <is>
          <t>否</t>
        </is>
      </c>
      <c r="D7" s="15" t="inlineStr">
        <is>
          <t>文檔處理</t>
        </is>
      </c>
      <c r="E7" s="15" t="inlineStr">
        <is>
          <t>DeepSeek-OCR</t>
        </is>
      </c>
      <c r="F7" s="15" t="inlineStr">
        <is>
          <t>OCR 最佳</t>
        </is>
      </c>
    </row>
    <row r="8">
      <c r="A8" s="22" t="inlineStr">
        <is>
          <t>是否需要視頻理解:</t>
        </is>
      </c>
      <c r="B8" s="7" t="inlineStr">
        <is>
          <t>否</t>
        </is>
      </c>
      <c r="D8" s="15" t="inlineStr">
        <is>
          <t>數學推理</t>
        </is>
      </c>
      <c r="E8" s="15" t="inlineStr">
        <is>
          <t>Kimi-VL-Thinking</t>
        </is>
      </c>
      <c r="F8" s="15" t="inlineStr">
        <is>
          <t>推理強</t>
        </is>
      </c>
    </row>
    <row r="9">
      <c r="A9" s="22" t="inlineStr">
        <is>
          <t>優先考慮:</t>
        </is>
      </c>
      <c r="B9" s="7" t="inlineStr">
        <is>
          <t>效能</t>
        </is>
      </c>
      <c r="D9" s="15" t="inlineStr">
        <is>
          <t>手機部署</t>
        </is>
      </c>
      <c r="E9" s="15" t="inlineStr">
        <is>
          <t>SmolVLM2-500M</t>
        </is>
      </c>
      <c r="F9" s="15" t="inlineStr">
        <is>
          <t>最輕量</t>
        </is>
      </c>
    </row>
    <row r="10">
      <c r="D10" s="15" t="inlineStr">
        <is>
          <t>研究用途</t>
        </is>
      </c>
      <c r="E10" s="15" t="inlineStr">
        <is>
          <t>Molmo</t>
        </is>
      </c>
      <c r="F10" s="15" t="inlineStr">
        <is>
          <t>完全開源</t>
        </is>
      </c>
    </row>
    <row r="11">
      <c r="D11" s="15" t="inlineStr">
        <is>
          <t>長文檔</t>
        </is>
      </c>
      <c r="E11" s="15" t="inlineStr">
        <is>
          <t>Llama 4 Scout</t>
        </is>
      </c>
      <c r="F11" s="15" t="inlineStr">
        <is>
          <t>長上下文</t>
        </is>
      </c>
    </row>
    <row r="12">
      <c r="A12" s="21" t="inlineStr">
        <is>
          <t>推薦結果</t>
        </is>
      </c>
    </row>
    <row r="13">
      <c r="A13" t="inlineStr">
        <is>
          <t>推薦模型:</t>
        </is>
      </c>
      <c r="B13" s="23">
        <f>IF(B5&lt;8,"SmolVLM2 (256M-2.2B)",IF(AND(B6="是",B5&gt;=24),"Kimi-VL-Thinking",IF(B7="是","DeepSeek-OCR",IF(B8="是","SmolVLM2","Qwen2.5-VL-7B-Instruct"))))</f>
        <v/>
      </c>
    </row>
    <row r="14">
      <c r="A14" t="inlineStr">
        <is>
          <t>推薦原因:</t>
        </is>
      </c>
      <c r="B14" s="22">
        <f>IF(B5&lt;8,"記憶體有限，推薦輕量模型",IF(AND(B6="是",B5&gt;=24),"需要推理能力且記憶體充足",IF(B7="是","專注 OCR 任務",IF(B8="是","需要視頻理解能力","通用多模態任務的最佳選擇"))))</f>
        <v/>
      </c>
    </row>
    <row r="17">
      <c r="A17" s="3" t="inlineStr">
        <is>
          <t>記憶體需求參考</t>
        </is>
      </c>
    </row>
    <row r="18">
      <c r="A18" s="14" t="inlineStr">
        <is>
          <t>模型規模</t>
        </is>
      </c>
      <c r="B18" s="14" t="inlineStr">
        <is>
          <t>FP16 記憶體</t>
        </is>
      </c>
      <c r="C18" s="14" t="inlineStr">
        <is>
          <t>INT8 記憶體</t>
        </is>
      </c>
      <c r="D18" s="14" t="inlineStr">
        <is>
          <t>INT4 記憶體</t>
        </is>
      </c>
    </row>
    <row r="19">
      <c r="A19" s="15" t="inlineStr">
        <is>
          <t>1B</t>
        </is>
      </c>
      <c r="B19" s="15" t="inlineStr">
        <is>
          <t>~2 GB</t>
        </is>
      </c>
      <c r="C19" s="15" t="inlineStr">
        <is>
          <t>~1 GB</t>
        </is>
      </c>
      <c r="D19" s="15" t="inlineStr">
        <is>
          <t>~0.5 GB</t>
        </is>
      </c>
    </row>
    <row r="20">
      <c r="A20" s="15" t="inlineStr">
        <is>
          <t>3B</t>
        </is>
      </c>
      <c r="B20" s="15" t="inlineStr">
        <is>
          <t>~6 GB</t>
        </is>
      </c>
      <c r="C20" s="15" t="inlineStr">
        <is>
          <t>~3 GB</t>
        </is>
      </c>
      <c r="D20" s="15" t="inlineStr">
        <is>
          <t>~1.5 GB</t>
        </is>
      </c>
    </row>
    <row r="21">
      <c r="A21" s="15" t="inlineStr">
        <is>
          <t>7B</t>
        </is>
      </c>
      <c r="B21" s="15" t="inlineStr">
        <is>
          <t>~14 GB</t>
        </is>
      </c>
      <c r="C21" s="15" t="inlineStr">
        <is>
          <t>~7 GB</t>
        </is>
      </c>
      <c r="D21" s="15" t="inlineStr">
        <is>
          <t>~3.5 GB</t>
        </is>
      </c>
    </row>
    <row r="22">
      <c r="A22" s="15" t="inlineStr">
        <is>
          <t>13B</t>
        </is>
      </c>
      <c r="B22" s="15" t="inlineStr">
        <is>
          <t>~26 GB</t>
        </is>
      </c>
      <c r="C22" s="15" t="inlineStr">
        <is>
          <t>~13 GB</t>
        </is>
      </c>
      <c r="D22" s="15" t="inlineStr">
        <is>
          <t>~6.5 GB</t>
        </is>
      </c>
    </row>
    <row r="23">
      <c r="A23" s="15" t="inlineStr">
        <is>
          <t>72B</t>
        </is>
      </c>
      <c r="B23" s="15" t="inlineStr">
        <is>
          <t>~144 GB</t>
        </is>
      </c>
      <c r="C23" s="15" t="inlineStr">
        <is>
          <t>~72 GB</t>
        </is>
      </c>
      <c r="D23" s="15" t="inlineStr">
        <is>
          <t>~36 GB</t>
        </is>
      </c>
    </row>
  </sheetData>
  <mergeCells count="4">
    <mergeCell ref="A4:B4"/>
    <mergeCell ref="A1:D1"/>
    <mergeCell ref="D4:F4"/>
    <mergeCell ref="A12:B12"/>
  </mergeCells>
  <dataValidations count="2">
    <dataValidation sqref="B6 B7 B8" showDropDown="0" showInputMessage="0" showErrorMessage="0" allowBlank="0" type="list">
      <formula1>"是,否"</formula1>
    </dataValidation>
    <dataValidation sqref="B9" showDropDown="0" showInputMessage="0" showErrorMessage="0" allowBlank="0" type="list">
      <formula1>"效能,速度,記憶體效率"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2026-01-09T08:10:31Z</dcterms:created>
  <dcterms:modified xmlns:dcterms="http://purl.org/dc/terms/" xmlns:xsi="http://www.w3.org/2001/XMLSchema-instance" xsi:type="dcterms:W3CDTF">2026-01-09T08:12:40Z</dcterms:modified>
</cp:coreProperties>
</file>